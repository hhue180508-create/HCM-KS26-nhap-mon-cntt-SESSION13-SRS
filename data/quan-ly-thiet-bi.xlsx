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-muc-linh-kien" sheetId="1" state="visible" r:id="rId1"/>
    <sheet xmlns:r="http://schemas.openxmlformats.org/officeDocument/2006/relationships" name="trang-thai-tram" sheetId="2" state="visible" r:id="rId2"/>
    <sheet xmlns:r="http://schemas.openxmlformats.org/officeDocument/2006/relationships" name="huong-dan" sheetId="3" state="visible" r:id="rId3"/>
  </sheets>
  <definedNames>
    <definedName name="_xlnm._FilterDatabase" localSheetId="0" hidden="1">'danh-muc-linh-kien'!$A$1:$D$10</definedName>
    <definedName name="_xlnm._FilterDatabase" localSheetId="1" hidden="1">'trang-thai-tram'!$A$1:$F$101</definedName>
    <definedName name="_xlnm._FilterDatabase" localSheetId="2" hidden="1">'huong-dan'!$A$1:$B$6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nhMucLinhKien" displayName="DanhMucLinhKien" ref="A1:D10" headerRowCount="1">
  <autoFilter ref="A1:D10"/>
  <tableColumns count="4">
    <tableColumn id="1" name="ma_linh_kien"/>
    <tableColumn id="2" name="ten_thiet_bi"/>
    <tableColumn id="3" name="don_gia"/>
    <tableColumn id="4" name="loai_storage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TrangThaiTram" displayName="TrangThaiTram" ref="A1:F101" headerRowCount="1">
  <autoFilter ref="A1:F101"/>
  <tableColumns count="6">
    <tableColumn id="1" name="ma_tram"/>
    <tableColumn id="2" name="ma_linh_kien"/>
    <tableColumn id="3" name="dung_luong_ram"/>
    <tableColumn id="4" name="ngay_lap_dat"/>
    <tableColumn id="5" name="ten_thiet_bi"/>
    <tableColumn id="6" name="ma_linh_kien_sach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5" customWidth="1" min="4" max="4"/>
  </cols>
  <sheetData>
    <row r="1" ht="30" customHeight="1">
      <c r="A1" s="1" t="inlineStr">
        <is>
          <t>ma_linh_kien</t>
        </is>
      </c>
      <c r="B1" s="1" t="inlineStr">
        <is>
          <t>ten_thiet_bi</t>
        </is>
      </c>
      <c r="C1" s="1" t="inlineStr">
        <is>
          <t>don_gia</t>
        </is>
      </c>
      <c r="D1" s="1" t="inlineStr">
        <is>
          <t>loai_storage</t>
        </is>
      </c>
    </row>
    <row r="2">
      <c r="A2" t="inlineStr">
        <is>
          <t>CPU-001</t>
        </is>
      </c>
      <c r="B2" t="inlineStr">
        <is>
          <t>CPU IoT tiết kiệm điện</t>
        </is>
      </c>
      <c r="C2" t="n">
        <v>1250000</v>
      </c>
      <c r="D2" t="inlineStr">
        <is>
          <t>N/A</t>
        </is>
      </c>
    </row>
    <row r="3">
      <c r="A3" t="inlineStr">
        <is>
          <t>CPU-002</t>
        </is>
      </c>
      <c r="B3" t="inlineStr">
        <is>
          <t>CPU biên 4 nhân</t>
        </is>
      </c>
      <c r="C3" t="n">
        <v>1850000</v>
      </c>
      <c r="D3" t="inlineStr">
        <is>
          <t>N/A</t>
        </is>
      </c>
    </row>
    <row r="4">
      <c r="A4" t="inlineStr">
        <is>
          <t>RAM-004</t>
        </is>
      </c>
      <c r="B4" t="inlineStr">
        <is>
          <t>RAM 4GB công nghiệp</t>
        </is>
      </c>
      <c r="C4" t="n">
        <v>420000</v>
      </c>
      <c r="D4" t="inlineStr">
        <is>
          <t>N/A</t>
        </is>
      </c>
    </row>
    <row r="5">
      <c r="A5" t="inlineStr">
        <is>
          <t>RAM-008</t>
        </is>
      </c>
      <c r="B5" t="inlineStr">
        <is>
          <t>RAM 8GB công nghiệp</t>
        </is>
      </c>
      <c r="C5" t="n">
        <v>620000</v>
      </c>
      <c r="D5" t="inlineStr">
        <is>
          <t>N/A</t>
        </is>
      </c>
    </row>
    <row r="6">
      <c r="A6" t="inlineStr">
        <is>
          <t>RAM-016</t>
        </is>
      </c>
      <c r="B6" t="inlineStr">
        <is>
          <t>RAM 16GB công nghiệp</t>
        </is>
      </c>
      <c r="C6" t="n">
        <v>990000</v>
      </c>
      <c r="D6" t="inlineStr">
        <is>
          <t>N/A</t>
        </is>
      </c>
    </row>
    <row r="7">
      <c r="A7" t="inlineStr">
        <is>
          <t>SSD-128</t>
        </is>
      </c>
      <c r="B7" t="inlineStr">
        <is>
          <t>SSD 128GB chịu nhiệt</t>
        </is>
      </c>
      <c r="C7" t="n">
        <v>650000</v>
      </c>
      <c r="D7" t="inlineStr">
        <is>
          <t>SSD</t>
        </is>
      </c>
    </row>
    <row r="8">
      <c r="A8" t="inlineStr">
        <is>
          <t>SSD-256</t>
        </is>
      </c>
      <c r="B8" t="inlineStr">
        <is>
          <t>SSD 256GB chịu nhiệt</t>
        </is>
      </c>
      <c r="C8" t="n">
        <v>890000</v>
      </c>
      <c r="D8" t="inlineStr">
        <is>
          <t>SSD</t>
        </is>
      </c>
    </row>
    <row r="9">
      <c r="A9" t="inlineStr">
        <is>
          <t>SSD-512</t>
        </is>
      </c>
      <c r="B9" t="inlineStr">
        <is>
          <t>SSD 512GB chịu nhiệt</t>
        </is>
      </c>
      <c r="C9" t="n">
        <v>1390000</v>
      </c>
      <c r="D9" t="inlineStr">
        <is>
          <t>SSD</t>
        </is>
      </c>
    </row>
    <row r="10">
      <c r="A10" t="inlineStr">
        <is>
          <t>HDD-1T</t>
        </is>
      </c>
      <c r="B10" t="inlineStr">
        <is>
          <t>HDD 1TB giám sát</t>
        </is>
      </c>
      <c r="C10" t="n">
        <v>1050000</v>
      </c>
      <c r="D10" t="inlineStr">
        <is>
          <t>HDD</t>
        </is>
      </c>
    </row>
  </sheetData>
  <autoFilter ref="A1:D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5" customWidth="1" min="4" max="4"/>
    <col width="34" customWidth="1" min="5" max="5"/>
    <col width="23" customWidth="1" min="6" max="6"/>
  </cols>
  <sheetData>
    <row r="1" ht="30" customHeight="1">
      <c r="A1" s="1" t="inlineStr">
        <is>
          <t>ma_tram</t>
        </is>
      </c>
      <c r="B1" s="1" t="inlineStr">
        <is>
          <t>ma_linh_kien</t>
        </is>
      </c>
      <c r="C1" s="1" t="inlineStr">
        <is>
          <t>dung_luong_ram</t>
        </is>
      </c>
      <c r="D1" s="1" t="inlineStr">
        <is>
          <t>ngay_lap_dat</t>
        </is>
      </c>
      <c r="E1" s="1" t="inlineStr">
        <is>
          <t>ten_thiet_bi</t>
        </is>
      </c>
      <c r="F1" s="1" t="inlineStr">
        <is>
          <t>ma_linh_kien_sach</t>
        </is>
      </c>
    </row>
    <row r="2">
      <c r="A2" t="inlineStr">
        <is>
          <t>TR-001</t>
        </is>
      </c>
      <c r="B2" t="inlineStr">
        <is>
          <t>SSD-512</t>
        </is>
      </c>
      <c r="C2" t="inlineStr">
        <is>
          <t>8GB</t>
        </is>
      </c>
      <c r="D2" s="2" t="n">
        <v>45660</v>
      </c>
      <c r="E2">
        <f>IFERROR(VLOOKUP(TRIM(B2),'danh-muc-linh-kien'!$A$2:$D$10,2,FALSE),"KIEM_TRA_MA")</f>
        <v/>
      </c>
      <c r="F2">
        <f>TRIM(B2)</f>
        <v/>
      </c>
    </row>
    <row r="3">
      <c r="A3" t="inlineStr">
        <is>
          <t>TR-002</t>
        </is>
      </c>
      <c r="B3" t="inlineStr">
        <is>
          <t>SSD-128</t>
        </is>
      </c>
      <c r="C3" t="inlineStr">
        <is>
          <t>16GB</t>
        </is>
      </c>
      <c r="D3" s="2" t="n">
        <v>45662</v>
      </c>
      <c r="E3">
        <f>IFERROR(VLOOKUP(TRIM(B3),'danh-muc-linh-kien'!$A$2:$D$10,2,FALSE),"KIEM_TRA_MA")</f>
        <v/>
      </c>
      <c r="F3">
        <f>TRIM(B3)</f>
        <v/>
      </c>
    </row>
    <row r="4">
      <c r="A4" t="inlineStr">
        <is>
          <t>TR-003</t>
        </is>
      </c>
      <c r="B4" t="inlineStr">
        <is>
          <t>RAM-016</t>
        </is>
      </c>
      <c r="C4" t="inlineStr">
        <is>
          <t>16GB</t>
        </is>
      </c>
      <c r="D4" s="2" t="n">
        <v>45664</v>
      </c>
      <c r="E4">
        <f>IFERROR(VLOOKUP(TRIM(B4),'danh-muc-linh-kien'!$A$2:$D$10,2,FALSE),"KIEM_TRA_MA")</f>
        <v/>
      </c>
      <c r="F4">
        <f>TRIM(B4)</f>
        <v/>
      </c>
    </row>
    <row r="5">
      <c r="A5" t="inlineStr">
        <is>
          <t>TR-004</t>
        </is>
      </c>
      <c r="B5" t="inlineStr">
        <is>
          <t>RAM-004</t>
        </is>
      </c>
      <c r="C5" t="inlineStr">
        <is>
          <t>4GB</t>
        </is>
      </c>
      <c r="D5" s="2" t="n">
        <v>45666</v>
      </c>
      <c r="E5">
        <f>IFERROR(VLOOKUP(TRIM(B5),'danh-muc-linh-kien'!$A$2:$D$10,2,FALSE),"KIEM_TRA_MA")</f>
        <v/>
      </c>
      <c r="F5">
        <f>TRIM(B5)</f>
        <v/>
      </c>
    </row>
    <row r="6">
      <c r="A6" t="inlineStr">
        <is>
          <t>TR-005</t>
        </is>
      </c>
      <c r="B6" t="inlineStr">
        <is>
          <t>CPU-001</t>
        </is>
      </c>
      <c r="C6" t="inlineStr">
        <is>
          <t>16GB</t>
        </is>
      </c>
      <c r="D6" s="2" t="n">
        <v>45668</v>
      </c>
      <c r="E6">
        <f>IFERROR(VLOOKUP(TRIM(B6),'danh-muc-linh-kien'!$A$2:$D$10,2,FALSE),"KIEM_TRA_MA")</f>
        <v/>
      </c>
      <c r="F6">
        <f>TRIM(B6)</f>
        <v/>
      </c>
    </row>
    <row r="7">
      <c r="A7" t="inlineStr">
        <is>
          <t>TR-006</t>
        </is>
      </c>
      <c r="B7" t="inlineStr">
        <is>
          <t>HDD-1T</t>
        </is>
      </c>
      <c r="C7" t="inlineStr">
        <is>
          <t>4GB</t>
        </is>
      </c>
      <c r="D7" s="2" t="n">
        <v>45670</v>
      </c>
      <c r="E7">
        <f>IFERROR(VLOOKUP(TRIM(B7),'danh-muc-linh-kien'!$A$2:$D$10,2,FALSE),"KIEM_TRA_MA")</f>
        <v/>
      </c>
      <c r="F7">
        <f>TRIM(B7)</f>
        <v/>
      </c>
    </row>
    <row r="8">
      <c r="A8" t="inlineStr">
        <is>
          <t>TR-007</t>
        </is>
      </c>
      <c r="B8" t="inlineStr">
        <is>
          <t>SSD-256</t>
        </is>
      </c>
      <c r="C8" t="inlineStr">
        <is>
          <t>8GB</t>
        </is>
      </c>
      <c r="D8" s="2" t="n">
        <v>45672</v>
      </c>
      <c r="E8">
        <f>IFERROR(VLOOKUP(TRIM(B8),'danh-muc-linh-kien'!$A$2:$D$10,2,FALSE),"KIEM_TRA_MA")</f>
        <v/>
      </c>
      <c r="F8">
        <f>TRIM(B8)</f>
        <v/>
      </c>
    </row>
    <row r="9">
      <c r="A9" t="inlineStr">
        <is>
          <t>TR-008</t>
        </is>
      </c>
      <c r="B9" t="inlineStr">
        <is>
          <t>RAM-016</t>
        </is>
      </c>
      <c r="C9" t="inlineStr">
        <is>
          <t>16GB</t>
        </is>
      </c>
      <c r="D9" s="2" t="n">
        <v>45674</v>
      </c>
      <c r="E9">
        <f>IFERROR(VLOOKUP(TRIM(B9),'danh-muc-linh-kien'!$A$2:$D$10,2,FALSE),"KIEM_TRA_MA")</f>
        <v/>
      </c>
      <c r="F9">
        <f>TRIM(B9)</f>
        <v/>
      </c>
    </row>
    <row r="10">
      <c r="A10" t="inlineStr">
        <is>
          <t>TR-009</t>
        </is>
      </c>
      <c r="B10" t="inlineStr">
        <is>
          <t>RAM-008</t>
        </is>
      </c>
      <c r="C10" t="inlineStr">
        <is>
          <t>8GB</t>
        </is>
      </c>
      <c r="D10" s="2" t="n">
        <v>45676</v>
      </c>
      <c r="E10">
        <f>IFERROR(VLOOKUP(TRIM(B10),'danh-muc-linh-kien'!$A$2:$D$10,2,FALSE),"KIEM_TRA_MA")</f>
        <v/>
      </c>
      <c r="F10">
        <f>TRIM(B10)</f>
        <v/>
      </c>
    </row>
    <row r="11">
      <c r="A11" t="inlineStr">
        <is>
          <t>TR-010</t>
        </is>
      </c>
      <c r="B11" t="inlineStr">
        <is>
          <t>CPU-002</t>
        </is>
      </c>
      <c r="C11" t="inlineStr">
        <is>
          <t>8GB</t>
        </is>
      </c>
      <c r="D11" s="2" t="n">
        <v>45678</v>
      </c>
      <c r="E11">
        <f>IFERROR(VLOOKUP(TRIM(B11),'danh-muc-linh-kien'!$A$2:$D$10,2,FALSE),"KIEM_TRA_MA")</f>
        <v/>
      </c>
      <c r="F11">
        <f>TRIM(B11)</f>
        <v/>
      </c>
    </row>
    <row r="12">
      <c r="A12" t="inlineStr">
        <is>
          <t>TR-011</t>
        </is>
      </c>
      <c r="B12" t="inlineStr">
        <is>
          <t>HDD-1T</t>
        </is>
      </c>
      <c r="C12" t="inlineStr">
        <is>
          <t>16GB</t>
        </is>
      </c>
      <c r="D12" s="2" t="n">
        <v>45680</v>
      </c>
      <c r="E12">
        <f>IFERROR(VLOOKUP(TRIM(B12),'danh-muc-linh-kien'!$A$2:$D$10,2,FALSE),"KIEM_TRA_MA")</f>
        <v/>
      </c>
      <c r="F12">
        <f>TRIM(B12)</f>
        <v/>
      </c>
    </row>
    <row r="13">
      <c r="A13" t="inlineStr">
        <is>
          <t>TR-012</t>
        </is>
      </c>
      <c r="B13" t="inlineStr">
        <is>
          <t xml:space="preserve"> SSD-512 </t>
        </is>
      </c>
      <c r="C13" t="inlineStr">
        <is>
          <t>4GB</t>
        </is>
      </c>
      <c r="D13" s="2" t="n">
        <v>45682</v>
      </c>
      <c r="E13">
        <f>IFERROR(VLOOKUP(TRIM(B13),'danh-muc-linh-kien'!$A$2:$D$10,2,FALSE),"KIEM_TRA_MA")</f>
        <v/>
      </c>
      <c r="F13">
        <f>TRIM(B13)</f>
        <v/>
      </c>
    </row>
    <row r="14">
      <c r="A14" t="inlineStr">
        <is>
          <t>TR-013</t>
        </is>
      </c>
      <c r="B14" t="inlineStr">
        <is>
          <t>SSD-128</t>
        </is>
      </c>
      <c r="C14" t="inlineStr">
        <is>
          <t>8GB</t>
        </is>
      </c>
      <c r="D14" s="2" t="n">
        <v>45684</v>
      </c>
      <c r="E14">
        <f>IFERROR(VLOOKUP(TRIM(B14),'danh-muc-linh-kien'!$A$2:$D$10,2,FALSE),"KIEM_TRA_MA")</f>
        <v/>
      </c>
      <c r="F14">
        <f>TRIM(B14)</f>
        <v/>
      </c>
    </row>
    <row r="15">
      <c r="A15" t="inlineStr">
        <is>
          <t>TR-014</t>
        </is>
      </c>
      <c r="B15" t="inlineStr">
        <is>
          <t>RAM-008</t>
        </is>
      </c>
      <c r="C15" t="inlineStr">
        <is>
          <t>8GB</t>
        </is>
      </c>
      <c r="D15" s="2" t="n">
        <v>45686</v>
      </c>
      <c r="E15">
        <f>IFERROR(VLOOKUP(TRIM(B15),'danh-muc-linh-kien'!$A$2:$D$10,2,FALSE),"KIEM_TRA_MA")</f>
        <v/>
      </c>
      <c r="F15">
        <f>TRIM(B15)</f>
        <v/>
      </c>
    </row>
    <row r="16">
      <c r="A16" t="inlineStr">
        <is>
          <t>TR-015</t>
        </is>
      </c>
      <c r="B16" t="inlineStr">
        <is>
          <t>RAM-004</t>
        </is>
      </c>
      <c r="C16" t="inlineStr">
        <is>
          <t>4GB</t>
        </is>
      </c>
      <c r="D16" s="2" t="n">
        <v>45688</v>
      </c>
      <c r="E16">
        <f>IFERROR(VLOOKUP(TRIM(B16),'danh-muc-linh-kien'!$A$2:$D$10,2,FALSE),"KIEM_TRA_MA")</f>
        <v/>
      </c>
      <c r="F16">
        <f>TRIM(B16)</f>
        <v/>
      </c>
    </row>
    <row r="17">
      <c r="A17" t="inlineStr">
        <is>
          <t>TR-016</t>
        </is>
      </c>
      <c r="B17" t="inlineStr">
        <is>
          <t>CPU-001</t>
        </is>
      </c>
      <c r="C17" t="inlineStr">
        <is>
          <t>8GB</t>
        </is>
      </c>
      <c r="D17" s="2" t="n">
        <v>45690</v>
      </c>
      <c r="E17">
        <f>IFERROR(VLOOKUP(TRIM(B17),'danh-muc-linh-kien'!$A$2:$D$10,2,FALSE),"KIEM_TRA_MA")</f>
        <v/>
      </c>
      <c r="F17">
        <f>TRIM(B17)</f>
        <v/>
      </c>
    </row>
    <row r="18">
      <c r="A18" t="inlineStr">
        <is>
          <t>TR-017</t>
        </is>
      </c>
      <c r="B18" t="inlineStr">
        <is>
          <t>SSD-512</t>
        </is>
      </c>
      <c r="C18" t="inlineStr">
        <is>
          <t>16GB</t>
        </is>
      </c>
      <c r="D18" s="2" t="n">
        <v>45692</v>
      </c>
      <c r="E18">
        <f>IFERROR(VLOOKUP(TRIM(B18),'danh-muc-linh-kien'!$A$2:$D$10,2,FALSE),"KIEM_TRA_MA")</f>
        <v/>
      </c>
      <c r="F18">
        <f>TRIM(B18)</f>
        <v/>
      </c>
    </row>
    <row r="19">
      <c r="A19" t="inlineStr">
        <is>
          <t>TR-018</t>
        </is>
      </c>
      <c r="B19" t="inlineStr">
        <is>
          <t>SSD-256</t>
        </is>
      </c>
      <c r="C19" t="inlineStr">
        <is>
          <t>4GB</t>
        </is>
      </c>
      <c r="D19" s="2" t="n">
        <v>45694</v>
      </c>
      <c r="E19">
        <f>IFERROR(VLOOKUP(TRIM(B19),'danh-muc-linh-kien'!$A$2:$D$10,2,FALSE),"KIEM_TRA_MA")</f>
        <v/>
      </c>
      <c r="F19">
        <f>TRIM(B19)</f>
        <v/>
      </c>
    </row>
    <row r="20">
      <c r="A20" t="inlineStr">
        <is>
          <t>TR-019</t>
        </is>
      </c>
      <c r="B20" t="inlineStr">
        <is>
          <t>RAM-016</t>
        </is>
      </c>
      <c r="C20" t="inlineStr">
        <is>
          <t>16GB</t>
        </is>
      </c>
      <c r="D20" s="2" t="n">
        <v>45696</v>
      </c>
      <c r="E20">
        <f>IFERROR(VLOOKUP(TRIM(B20),'danh-muc-linh-kien'!$A$2:$D$10,2,FALSE),"KIEM_TRA_MA")</f>
        <v/>
      </c>
      <c r="F20">
        <f>TRIM(B20)</f>
        <v/>
      </c>
    </row>
    <row r="21">
      <c r="A21" t="inlineStr">
        <is>
          <t>TR-020</t>
        </is>
      </c>
      <c r="B21" t="inlineStr">
        <is>
          <t>RAM-004</t>
        </is>
      </c>
      <c r="C21" t="inlineStr">
        <is>
          <t>4GB</t>
        </is>
      </c>
      <c r="D21" s="2" t="n">
        <v>45698</v>
      </c>
      <c r="E21">
        <f>IFERROR(VLOOKUP(TRIM(B21),'danh-muc-linh-kien'!$A$2:$D$10,2,FALSE),"KIEM_TRA_MA")</f>
        <v/>
      </c>
      <c r="F21">
        <f>TRIM(B21)</f>
        <v/>
      </c>
    </row>
    <row r="22">
      <c r="A22" t="inlineStr">
        <is>
          <t>TR-021</t>
        </is>
      </c>
      <c r="B22" t="inlineStr">
        <is>
          <t>CPU-002</t>
        </is>
      </c>
      <c r="C22" t="inlineStr">
        <is>
          <t>4GB</t>
        </is>
      </c>
      <c r="D22" s="2" t="n">
        <v>45700</v>
      </c>
      <c r="E22">
        <f>IFERROR(VLOOKUP(TRIM(B22),'danh-muc-linh-kien'!$A$2:$D$10,2,FALSE),"KIEM_TRA_MA")</f>
        <v/>
      </c>
      <c r="F22">
        <f>TRIM(B22)</f>
        <v/>
      </c>
    </row>
    <row r="23">
      <c r="A23" t="inlineStr">
        <is>
          <t>TR-022</t>
        </is>
      </c>
      <c r="B23" t="inlineStr">
        <is>
          <t>HDD-1T</t>
        </is>
      </c>
      <c r="C23" t="inlineStr">
        <is>
          <t>8GB</t>
        </is>
      </c>
      <c r="D23" s="2" t="n">
        <v>45702</v>
      </c>
      <c r="E23">
        <f>IFERROR(VLOOKUP(TRIM(B23),'danh-muc-linh-kien'!$A$2:$D$10,2,FALSE),"KIEM_TRA_MA")</f>
        <v/>
      </c>
      <c r="F23">
        <f>TRIM(B23)</f>
        <v/>
      </c>
    </row>
    <row r="24">
      <c r="A24" t="inlineStr">
        <is>
          <t>TR-023</t>
        </is>
      </c>
      <c r="B24" t="inlineStr">
        <is>
          <t>SSD-256</t>
        </is>
      </c>
      <c r="C24" t="inlineStr">
        <is>
          <t>16GB</t>
        </is>
      </c>
      <c r="D24" s="2" t="n">
        <v>45704</v>
      </c>
      <c r="E24">
        <f>IFERROR(VLOOKUP(TRIM(B24),'danh-muc-linh-kien'!$A$2:$D$10,2,FALSE),"KIEM_TRA_MA")</f>
        <v/>
      </c>
      <c r="F24">
        <f>TRIM(B24)</f>
        <v/>
      </c>
    </row>
    <row r="25">
      <c r="A25" t="inlineStr">
        <is>
          <t>TR-024</t>
        </is>
      </c>
      <c r="B25" t="inlineStr">
        <is>
          <t>SSD-128</t>
        </is>
      </c>
      <c r="C25" t="inlineStr">
        <is>
          <t>4GB</t>
        </is>
      </c>
      <c r="D25" s="2" t="n">
        <v>45706</v>
      </c>
      <c r="E25">
        <f>IFERROR(VLOOKUP(TRIM(B25),'danh-muc-linh-kien'!$A$2:$D$10,2,FALSE),"KIEM_TRA_MA")</f>
        <v/>
      </c>
      <c r="F25">
        <f>TRIM(B25)</f>
        <v/>
      </c>
    </row>
    <row r="26">
      <c r="A26" t="inlineStr">
        <is>
          <t>TR-025</t>
        </is>
      </c>
      <c r="B26" t="inlineStr">
        <is>
          <t>RAM-008</t>
        </is>
      </c>
      <c r="C26" t="inlineStr">
        <is>
          <t>8GB</t>
        </is>
      </c>
      <c r="D26" s="2" t="n">
        <v>45708</v>
      </c>
      <c r="E26">
        <f>IFERROR(VLOOKUP(TRIM(B26),'danh-muc-linh-kien'!$A$2:$D$10,2,FALSE),"KIEM_TRA_MA")</f>
        <v/>
      </c>
      <c r="F26">
        <f>TRIM(B26)</f>
        <v/>
      </c>
    </row>
    <row r="27">
      <c r="A27" t="inlineStr">
        <is>
          <t>TR-026</t>
        </is>
      </c>
      <c r="B27" t="inlineStr">
        <is>
          <t>CPU-002</t>
        </is>
      </c>
      <c r="C27" t="inlineStr">
        <is>
          <t>16GB</t>
        </is>
      </c>
      <c r="D27" s="2" t="n">
        <v>45710</v>
      </c>
      <c r="E27">
        <f>IFERROR(VLOOKUP(TRIM(B27),'danh-muc-linh-kien'!$A$2:$D$10,2,FALSE),"KIEM_TRA_MA")</f>
        <v/>
      </c>
      <c r="F27">
        <f>TRIM(B27)</f>
        <v/>
      </c>
    </row>
    <row r="28">
      <c r="A28" t="inlineStr">
        <is>
          <t>TR-027</t>
        </is>
      </c>
      <c r="B28" t="inlineStr">
        <is>
          <t>CPU-001</t>
        </is>
      </c>
      <c r="C28" t="inlineStr">
        <is>
          <t>4GB</t>
        </is>
      </c>
      <c r="D28" s="2" t="n">
        <v>45712</v>
      </c>
      <c r="E28">
        <f>IFERROR(VLOOKUP(TRIM(B28),'danh-muc-linh-kien'!$A$2:$D$10,2,FALSE),"KIEM_TRA_MA")</f>
        <v/>
      </c>
      <c r="F28">
        <f>TRIM(B28)</f>
        <v/>
      </c>
    </row>
    <row r="29">
      <c r="A29" t="inlineStr">
        <is>
          <t>TR-028</t>
        </is>
      </c>
      <c r="B29" t="inlineStr">
        <is>
          <t>SSD-512</t>
        </is>
      </c>
      <c r="C29" t="inlineStr">
        <is>
          <t>8GB</t>
        </is>
      </c>
      <c r="D29" s="2" t="n">
        <v>45714</v>
      </c>
      <c r="E29">
        <f>IFERROR(VLOOKUP(TRIM(B29),'danh-muc-linh-kien'!$A$2:$D$10,2,FALSE),"KIEM_TRA_MA")</f>
        <v/>
      </c>
      <c r="F29">
        <f>TRIM(B29)</f>
        <v/>
      </c>
    </row>
    <row r="30">
      <c r="A30" t="inlineStr">
        <is>
          <t>TR-029</t>
        </is>
      </c>
      <c r="B30" t="inlineStr">
        <is>
          <t>SSD-128</t>
        </is>
      </c>
      <c r="C30" t="inlineStr">
        <is>
          <t>16GB</t>
        </is>
      </c>
      <c r="D30" s="2" t="n">
        <v>45716</v>
      </c>
      <c r="E30">
        <f>IFERROR(VLOOKUP(TRIM(B30),'danh-muc-linh-kien'!$A$2:$D$10,2,FALSE),"KIEM_TRA_MA")</f>
        <v/>
      </c>
      <c r="F30">
        <f>TRIM(B30)</f>
        <v/>
      </c>
    </row>
    <row r="31">
      <c r="A31" t="inlineStr">
        <is>
          <t>TR-030</t>
        </is>
      </c>
      <c r="B31" t="inlineStr">
        <is>
          <t>RAM-016</t>
        </is>
      </c>
      <c r="C31" t="inlineStr">
        <is>
          <t>16GB</t>
        </is>
      </c>
      <c r="D31" s="2" t="n">
        <v>45718</v>
      </c>
      <c r="E31">
        <f>IFERROR(VLOOKUP(TRIM(B31),'danh-muc-linh-kien'!$A$2:$D$10,2,FALSE),"KIEM_TRA_MA")</f>
        <v/>
      </c>
      <c r="F31">
        <f>TRIM(B31)</f>
        <v/>
      </c>
    </row>
    <row r="32">
      <c r="A32" t="inlineStr">
        <is>
          <t>TR-031</t>
        </is>
      </c>
      <c r="B32" t="inlineStr">
        <is>
          <t>RAM-004</t>
        </is>
      </c>
      <c r="C32" t="inlineStr">
        <is>
          <t>4GB</t>
        </is>
      </c>
      <c r="D32" s="2" t="n">
        <v>45720</v>
      </c>
      <c r="E32">
        <f>IFERROR(VLOOKUP(TRIM(B32),'danh-muc-linh-kien'!$A$2:$D$10,2,FALSE),"KIEM_TRA_MA")</f>
        <v/>
      </c>
      <c r="F32">
        <f>TRIM(B32)</f>
        <v/>
      </c>
    </row>
    <row r="33">
      <c r="A33" t="inlineStr">
        <is>
          <t>TR-032</t>
        </is>
      </c>
      <c r="B33" t="inlineStr">
        <is>
          <t>CPU-001</t>
        </is>
      </c>
      <c r="C33" t="inlineStr">
        <is>
          <t>16GB</t>
        </is>
      </c>
      <c r="D33" s="2" t="n">
        <v>45722</v>
      </c>
      <c r="E33">
        <f>IFERROR(VLOOKUP(TRIM(B33),'danh-muc-linh-kien'!$A$2:$D$10,2,FALSE),"KIEM_TRA_MA")</f>
        <v/>
      </c>
      <c r="F33">
        <f>TRIM(B33)</f>
        <v/>
      </c>
    </row>
    <row r="34">
      <c r="A34" t="inlineStr">
        <is>
          <t>TR-033</t>
        </is>
      </c>
      <c r="B34" t="inlineStr">
        <is>
          <t>HDD-1T</t>
        </is>
      </c>
      <c r="C34" t="inlineStr">
        <is>
          <t>4GB</t>
        </is>
      </c>
      <c r="D34" s="2" t="n">
        <v>45724</v>
      </c>
      <c r="E34">
        <f>IFERROR(VLOOKUP(TRIM(B34),'danh-muc-linh-kien'!$A$2:$D$10,2,FALSE),"KIEM_TRA_MA")</f>
        <v/>
      </c>
      <c r="F34">
        <f>TRIM(B34)</f>
        <v/>
      </c>
    </row>
    <row r="35">
      <c r="A35" t="inlineStr">
        <is>
          <t>TR-034</t>
        </is>
      </c>
      <c r="B35" t="inlineStr">
        <is>
          <t>SSD-256</t>
        </is>
      </c>
      <c r="C35" t="inlineStr">
        <is>
          <t>8GB</t>
        </is>
      </c>
      <c r="D35" s="2" t="n">
        <v>45726</v>
      </c>
      <c r="E35">
        <f>IFERROR(VLOOKUP(TRIM(B35),'danh-muc-linh-kien'!$A$2:$D$10,2,FALSE),"KIEM_TRA_MA")</f>
        <v/>
      </c>
      <c r="F35">
        <f>TRIM(B35)</f>
        <v/>
      </c>
    </row>
    <row r="36">
      <c r="A36" t="inlineStr">
        <is>
          <t>TR-035</t>
        </is>
      </c>
      <c r="B36" t="inlineStr">
        <is>
          <t>RAM-016</t>
        </is>
      </c>
      <c r="C36" t="inlineStr">
        <is>
          <t>16GB</t>
        </is>
      </c>
      <c r="D36" s="2" t="n">
        <v>45728</v>
      </c>
      <c r="E36">
        <f>IFERROR(VLOOKUP(TRIM(B36),'danh-muc-linh-kien'!$A$2:$D$10,2,FALSE),"KIEM_TRA_MA")</f>
        <v/>
      </c>
      <c r="F36">
        <f>TRIM(B36)</f>
        <v/>
      </c>
    </row>
    <row r="37">
      <c r="A37" t="inlineStr">
        <is>
          <t>TR-036</t>
        </is>
      </c>
      <c r="B37" t="inlineStr">
        <is>
          <t>RAM-008</t>
        </is>
      </c>
      <c r="C37" t="inlineStr">
        <is>
          <t>8GB</t>
        </is>
      </c>
      <c r="D37" s="2" t="n">
        <v>45730</v>
      </c>
      <c r="E37">
        <f>IFERROR(VLOOKUP(TRIM(B37),'danh-muc-linh-kien'!$A$2:$D$10,2,FALSE),"KIEM_TRA_MA")</f>
        <v/>
      </c>
      <c r="F37">
        <f>TRIM(B37)</f>
        <v/>
      </c>
    </row>
    <row r="38">
      <c r="A38" t="inlineStr">
        <is>
          <t>TR-037</t>
        </is>
      </c>
      <c r="B38" t="inlineStr">
        <is>
          <t xml:space="preserve"> CPU-002 </t>
        </is>
      </c>
      <c r="C38" t="inlineStr">
        <is>
          <t>8GB</t>
        </is>
      </c>
      <c r="D38" s="2" t="n">
        <v>45732</v>
      </c>
      <c r="E38">
        <f>IFERROR(VLOOKUP(TRIM(B38),'danh-muc-linh-kien'!$A$2:$D$10,2,FALSE),"KIEM_TRA_MA")</f>
        <v/>
      </c>
      <c r="F38">
        <f>TRIM(B38)</f>
        <v/>
      </c>
    </row>
    <row r="39">
      <c r="A39" t="inlineStr">
        <is>
          <t>TR-038</t>
        </is>
      </c>
      <c r="B39" t="inlineStr">
        <is>
          <t>HDD-1T</t>
        </is>
      </c>
      <c r="C39" t="inlineStr">
        <is>
          <t>16GB</t>
        </is>
      </c>
      <c r="D39" s="2" t="n">
        <v>45734</v>
      </c>
      <c r="E39">
        <f>IFERROR(VLOOKUP(TRIM(B39),'danh-muc-linh-kien'!$A$2:$D$10,2,FALSE),"KIEM_TRA_MA")</f>
        <v/>
      </c>
      <c r="F39">
        <f>TRIM(B39)</f>
        <v/>
      </c>
    </row>
    <row r="40">
      <c r="A40" t="inlineStr">
        <is>
          <t>TR-039</t>
        </is>
      </c>
      <c r="B40" t="inlineStr">
        <is>
          <t>SSD-512</t>
        </is>
      </c>
      <c r="C40" t="inlineStr">
        <is>
          <t>4GB</t>
        </is>
      </c>
      <c r="D40" s="2" t="n">
        <v>45736</v>
      </c>
      <c r="E40">
        <f>IFERROR(VLOOKUP(TRIM(B40),'danh-muc-linh-kien'!$A$2:$D$10,2,FALSE),"KIEM_TRA_MA")</f>
        <v/>
      </c>
      <c r="F40">
        <f>TRIM(B40)</f>
        <v/>
      </c>
    </row>
    <row r="41">
      <c r="A41" t="inlineStr">
        <is>
          <t>TR-040</t>
        </is>
      </c>
      <c r="B41" t="inlineStr">
        <is>
          <t>SSD-128</t>
        </is>
      </c>
      <c r="C41" t="inlineStr">
        <is>
          <t>8GB</t>
        </is>
      </c>
      <c r="D41" s="2" t="n">
        <v>45738</v>
      </c>
      <c r="E41">
        <f>IFERROR(VLOOKUP(TRIM(B41),'danh-muc-linh-kien'!$A$2:$D$10,2,FALSE),"KIEM_TRA_MA")</f>
        <v/>
      </c>
      <c r="F41">
        <f>TRIM(B41)</f>
        <v/>
      </c>
    </row>
    <row r="42">
      <c r="A42" t="inlineStr">
        <is>
          <t>TR-041</t>
        </is>
      </c>
      <c r="B42" t="inlineStr">
        <is>
          <t>RAM-008</t>
        </is>
      </c>
      <c r="C42" t="inlineStr">
        <is>
          <t>8GB</t>
        </is>
      </c>
      <c r="D42" s="2" t="n">
        <v>45740</v>
      </c>
      <c r="E42">
        <f>IFERROR(VLOOKUP(TRIM(B42),'danh-muc-linh-kien'!$A$2:$D$10,2,FALSE),"KIEM_TRA_MA")</f>
        <v/>
      </c>
      <c r="F42">
        <f>TRIM(B42)</f>
        <v/>
      </c>
    </row>
    <row r="43">
      <c r="A43" t="inlineStr">
        <is>
          <t>TR-042</t>
        </is>
      </c>
      <c r="B43" t="inlineStr">
        <is>
          <t>RAM-004</t>
        </is>
      </c>
      <c r="C43" t="inlineStr">
        <is>
          <t>4GB</t>
        </is>
      </c>
      <c r="D43" s="2" t="n">
        <v>45742</v>
      </c>
      <c r="E43">
        <f>IFERROR(VLOOKUP(TRIM(B43),'danh-muc-linh-kien'!$A$2:$D$10,2,FALSE),"KIEM_TRA_MA")</f>
        <v/>
      </c>
      <c r="F43">
        <f>TRIM(B43)</f>
        <v/>
      </c>
    </row>
    <row r="44">
      <c r="A44" t="inlineStr">
        <is>
          <t>TR-043</t>
        </is>
      </c>
      <c r="B44" t="inlineStr">
        <is>
          <t>CPU-001</t>
        </is>
      </c>
      <c r="C44" t="inlineStr">
        <is>
          <t>8GB</t>
        </is>
      </c>
      <c r="D44" s="2" t="n">
        <v>45744</v>
      </c>
      <c r="E44">
        <f>IFERROR(VLOOKUP(TRIM(B44),'danh-muc-linh-kien'!$A$2:$D$10,2,FALSE),"KIEM_TRA_MA")</f>
        <v/>
      </c>
      <c r="F44">
        <f>TRIM(B44)</f>
        <v/>
      </c>
    </row>
    <row r="45">
      <c r="A45" t="inlineStr">
        <is>
          <t>TR-044</t>
        </is>
      </c>
      <c r="B45" t="inlineStr">
        <is>
          <t>SSD-512</t>
        </is>
      </c>
      <c r="C45" t="inlineStr">
        <is>
          <t>16GB</t>
        </is>
      </c>
      <c r="D45" s="2" t="n">
        <v>45746</v>
      </c>
      <c r="E45">
        <f>IFERROR(VLOOKUP(TRIM(B45),'danh-muc-linh-kien'!$A$2:$D$10,2,FALSE),"KIEM_TRA_MA")</f>
        <v/>
      </c>
      <c r="F45">
        <f>TRIM(B45)</f>
        <v/>
      </c>
    </row>
    <row r="46">
      <c r="A46" t="inlineStr">
        <is>
          <t>TR-045</t>
        </is>
      </c>
      <c r="B46" t="inlineStr">
        <is>
          <t>SSD-256</t>
        </is>
      </c>
      <c r="C46" t="inlineStr">
        <is>
          <t>4GB</t>
        </is>
      </c>
      <c r="D46" s="2" t="n">
        <v>45748</v>
      </c>
      <c r="E46">
        <f>IFERROR(VLOOKUP(TRIM(B46),'danh-muc-linh-kien'!$A$2:$D$10,2,FALSE),"KIEM_TRA_MA")</f>
        <v/>
      </c>
      <c r="F46">
        <f>TRIM(B46)</f>
        <v/>
      </c>
    </row>
    <row r="47">
      <c r="A47" t="inlineStr">
        <is>
          <t>TR-046</t>
        </is>
      </c>
      <c r="B47" t="inlineStr">
        <is>
          <t>RAM-016</t>
        </is>
      </c>
      <c r="C47" t="inlineStr">
        <is>
          <t>16GB</t>
        </is>
      </c>
      <c r="D47" s="2" t="n">
        <v>45750</v>
      </c>
      <c r="E47">
        <f>IFERROR(VLOOKUP(TRIM(B47),'danh-muc-linh-kien'!$A$2:$D$10,2,FALSE),"KIEM_TRA_MA")</f>
        <v/>
      </c>
      <c r="F47">
        <f>TRIM(B47)</f>
        <v/>
      </c>
    </row>
    <row r="48">
      <c r="A48" t="inlineStr">
        <is>
          <t>TR-047</t>
        </is>
      </c>
      <c r="B48" t="inlineStr">
        <is>
          <t>RAM-004</t>
        </is>
      </c>
      <c r="C48" t="inlineStr">
        <is>
          <t>4GB</t>
        </is>
      </c>
      <c r="D48" s="2" t="n">
        <v>45752</v>
      </c>
      <c r="E48">
        <f>IFERROR(VLOOKUP(TRIM(B48),'danh-muc-linh-kien'!$A$2:$D$10,2,FALSE),"KIEM_TRA_MA")</f>
        <v/>
      </c>
      <c r="F48">
        <f>TRIM(B48)</f>
        <v/>
      </c>
    </row>
    <row r="49">
      <c r="A49" t="inlineStr">
        <is>
          <t>TR-048</t>
        </is>
      </c>
      <c r="B49" t="inlineStr">
        <is>
          <t>CPU-002</t>
        </is>
      </c>
      <c r="C49" t="inlineStr">
        <is>
          <t>4GB</t>
        </is>
      </c>
      <c r="D49" s="2" t="n">
        <v>45754</v>
      </c>
      <c r="E49">
        <f>IFERROR(VLOOKUP(TRIM(B49),'danh-muc-linh-kien'!$A$2:$D$10,2,FALSE),"KIEM_TRA_MA")</f>
        <v/>
      </c>
      <c r="F49">
        <f>TRIM(B49)</f>
        <v/>
      </c>
    </row>
    <row r="50">
      <c r="A50" t="inlineStr">
        <is>
          <t>TR-049</t>
        </is>
      </c>
      <c r="B50" t="inlineStr">
        <is>
          <t>HDD-1T</t>
        </is>
      </c>
      <c r="C50" t="inlineStr">
        <is>
          <t>8GB</t>
        </is>
      </c>
      <c r="D50" s="2" t="n">
        <v>45756</v>
      </c>
      <c r="E50">
        <f>IFERROR(VLOOKUP(TRIM(B50),'danh-muc-linh-kien'!$A$2:$D$10,2,FALSE),"KIEM_TRA_MA")</f>
        <v/>
      </c>
      <c r="F50">
        <f>TRIM(B50)</f>
        <v/>
      </c>
    </row>
    <row r="51">
      <c r="A51" t="inlineStr">
        <is>
          <t>TR-050</t>
        </is>
      </c>
      <c r="B51" t="inlineStr">
        <is>
          <t>SSD-256</t>
        </is>
      </c>
      <c r="C51" t="inlineStr">
        <is>
          <t>16GB</t>
        </is>
      </c>
      <c r="D51" s="2" t="n">
        <v>45758</v>
      </c>
      <c r="E51">
        <f>IFERROR(VLOOKUP(TRIM(B51),'danh-muc-linh-kien'!$A$2:$D$10,2,FALSE),"KIEM_TRA_MA")</f>
        <v/>
      </c>
      <c r="F51">
        <f>TRIM(B51)</f>
        <v/>
      </c>
    </row>
    <row r="52">
      <c r="A52" t="inlineStr">
        <is>
          <t>TR-051</t>
        </is>
      </c>
      <c r="B52" t="inlineStr">
        <is>
          <t>SSD-128</t>
        </is>
      </c>
      <c r="C52" t="inlineStr">
        <is>
          <t>4GB</t>
        </is>
      </c>
      <c r="D52" s="2" t="n">
        <v>45760</v>
      </c>
      <c r="E52">
        <f>IFERROR(VLOOKUP(TRIM(B52),'danh-muc-linh-kien'!$A$2:$D$10,2,FALSE),"KIEM_TRA_MA")</f>
        <v/>
      </c>
      <c r="F52">
        <f>TRIM(B52)</f>
        <v/>
      </c>
    </row>
    <row r="53">
      <c r="A53" t="inlineStr">
        <is>
          <t>TR-052</t>
        </is>
      </c>
      <c r="B53" t="inlineStr">
        <is>
          <t>RAM-008</t>
        </is>
      </c>
      <c r="C53" t="inlineStr">
        <is>
          <t>8GB</t>
        </is>
      </c>
      <c r="D53" s="2" t="n">
        <v>45762</v>
      </c>
      <c r="E53">
        <f>IFERROR(VLOOKUP(TRIM(B53),'danh-muc-linh-kien'!$A$2:$D$10,2,FALSE),"KIEM_TRA_MA")</f>
        <v/>
      </c>
      <c r="F53">
        <f>TRIM(B53)</f>
        <v/>
      </c>
    </row>
    <row r="54">
      <c r="A54" t="inlineStr">
        <is>
          <t>TR-053</t>
        </is>
      </c>
      <c r="B54" t="inlineStr">
        <is>
          <t>CPU-002</t>
        </is>
      </c>
      <c r="C54" t="inlineStr">
        <is>
          <t>16GB</t>
        </is>
      </c>
      <c r="D54" s="2" t="n">
        <v>45764</v>
      </c>
      <c r="E54">
        <f>IFERROR(VLOOKUP(TRIM(B54),'danh-muc-linh-kien'!$A$2:$D$10,2,FALSE),"KIEM_TRA_MA")</f>
        <v/>
      </c>
      <c r="F54">
        <f>TRIM(B54)</f>
        <v/>
      </c>
    </row>
    <row r="55">
      <c r="A55" t="inlineStr">
        <is>
          <t>TR-054</t>
        </is>
      </c>
      <c r="B55" t="inlineStr">
        <is>
          <t>CPU-001</t>
        </is>
      </c>
      <c r="C55" t="inlineStr">
        <is>
          <t>4GB</t>
        </is>
      </c>
      <c r="D55" s="2" t="n">
        <v>45766</v>
      </c>
      <c r="E55">
        <f>IFERROR(VLOOKUP(TRIM(B55),'danh-muc-linh-kien'!$A$2:$D$10,2,FALSE),"KIEM_TRA_MA")</f>
        <v/>
      </c>
      <c r="F55">
        <f>TRIM(B55)</f>
        <v/>
      </c>
    </row>
    <row r="56">
      <c r="A56" t="inlineStr">
        <is>
          <t>TR-055</t>
        </is>
      </c>
      <c r="B56" t="inlineStr">
        <is>
          <t>SSD-512</t>
        </is>
      </c>
      <c r="C56" t="inlineStr">
        <is>
          <t>8GB</t>
        </is>
      </c>
      <c r="D56" s="2" t="n">
        <v>45768</v>
      </c>
      <c r="E56">
        <f>IFERROR(VLOOKUP(TRIM(B56),'danh-muc-linh-kien'!$A$2:$D$10,2,FALSE),"KIEM_TRA_MA")</f>
        <v/>
      </c>
      <c r="F56">
        <f>TRIM(B56)</f>
        <v/>
      </c>
    </row>
    <row r="57">
      <c r="A57" t="inlineStr">
        <is>
          <t>TR-056</t>
        </is>
      </c>
      <c r="B57" t="inlineStr">
        <is>
          <t>SSD-128</t>
        </is>
      </c>
      <c r="C57" t="inlineStr">
        <is>
          <t>16GB</t>
        </is>
      </c>
      <c r="D57" s="2" t="n">
        <v>45770</v>
      </c>
      <c r="E57">
        <f>IFERROR(VLOOKUP(TRIM(B57),'danh-muc-linh-kien'!$A$2:$D$10,2,FALSE),"KIEM_TRA_MA")</f>
        <v/>
      </c>
      <c r="F57">
        <f>TRIM(B57)</f>
        <v/>
      </c>
    </row>
    <row r="58">
      <c r="A58" t="inlineStr">
        <is>
          <t>TR-057</t>
        </is>
      </c>
      <c r="B58" t="inlineStr">
        <is>
          <t>RAM-016</t>
        </is>
      </c>
      <c r="C58" t="inlineStr">
        <is>
          <t>16GB</t>
        </is>
      </c>
      <c r="D58" s="2" t="n">
        <v>45772</v>
      </c>
      <c r="E58">
        <f>IFERROR(VLOOKUP(TRIM(B58),'danh-muc-linh-kien'!$A$2:$D$10,2,FALSE),"KIEM_TRA_MA")</f>
        <v/>
      </c>
      <c r="F58">
        <f>TRIM(B58)</f>
        <v/>
      </c>
    </row>
    <row r="59">
      <c r="A59" t="inlineStr">
        <is>
          <t>TR-058</t>
        </is>
      </c>
      <c r="B59" t="inlineStr">
        <is>
          <t>RAM-004</t>
        </is>
      </c>
      <c r="C59" t="inlineStr">
        <is>
          <t>4GB</t>
        </is>
      </c>
      <c r="D59" s="2" t="n">
        <v>45774</v>
      </c>
      <c r="E59">
        <f>IFERROR(VLOOKUP(TRIM(B59),'danh-muc-linh-kien'!$A$2:$D$10,2,FALSE),"KIEM_TRA_MA")</f>
        <v/>
      </c>
      <c r="F59">
        <f>TRIM(B59)</f>
        <v/>
      </c>
    </row>
    <row r="60">
      <c r="A60" t="inlineStr">
        <is>
          <t>TR-059</t>
        </is>
      </c>
      <c r="B60" t="inlineStr">
        <is>
          <t>CPU-001</t>
        </is>
      </c>
      <c r="C60" t="inlineStr">
        <is>
          <t>16GB</t>
        </is>
      </c>
      <c r="D60" s="2" t="n">
        <v>45776</v>
      </c>
      <c r="E60">
        <f>IFERROR(VLOOKUP(TRIM(B60),'danh-muc-linh-kien'!$A$2:$D$10,2,FALSE),"KIEM_TRA_MA")</f>
        <v/>
      </c>
      <c r="F60">
        <f>TRIM(B60)</f>
        <v/>
      </c>
    </row>
    <row r="61">
      <c r="A61" t="inlineStr">
        <is>
          <t>TR-060</t>
        </is>
      </c>
      <c r="B61" t="inlineStr">
        <is>
          <t>HDD-1T</t>
        </is>
      </c>
      <c r="C61" t="inlineStr">
        <is>
          <t>4GB</t>
        </is>
      </c>
      <c r="D61" s="2" t="n">
        <v>45778</v>
      </c>
      <c r="E61">
        <f>IFERROR(VLOOKUP(TRIM(B61),'danh-muc-linh-kien'!$A$2:$D$10,2,FALSE),"KIEM_TRA_MA")</f>
        <v/>
      </c>
      <c r="F61">
        <f>TRIM(B61)</f>
        <v/>
      </c>
    </row>
    <row r="62">
      <c r="A62" t="inlineStr">
        <is>
          <t>TR-061</t>
        </is>
      </c>
      <c r="B62" t="inlineStr">
        <is>
          <t>SSD-256</t>
        </is>
      </c>
      <c r="C62" t="inlineStr">
        <is>
          <t>8GB</t>
        </is>
      </c>
      <c r="D62" s="2" t="n">
        <v>45780</v>
      </c>
      <c r="E62">
        <f>IFERROR(VLOOKUP(TRIM(B62),'danh-muc-linh-kien'!$A$2:$D$10,2,FALSE),"KIEM_TRA_MA")</f>
        <v/>
      </c>
      <c r="F62">
        <f>TRIM(B62)</f>
        <v/>
      </c>
    </row>
    <row r="63">
      <c r="A63" t="inlineStr">
        <is>
          <t>TR-062</t>
        </is>
      </c>
      <c r="B63" t="inlineStr">
        <is>
          <t>RAM-016</t>
        </is>
      </c>
      <c r="C63" t="inlineStr">
        <is>
          <t>16GB</t>
        </is>
      </c>
      <c r="D63" s="2" t="n">
        <v>45782</v>
      </c>
      <c r="E63">
        <f>IFERROR(VLOOKUP(TRIM(B63),'danh-muc-linh-kien'!$A$2:$D$10,2,FALSE),"KIEM_TRA_MA")</f>
        <v/>
      </c>
      <c r="F63">
        <f>TRIM(B63)</f>
        <v/>
      </c>
    </row>
    <row r="64">
      <c r="A64" t="inlineStr">
        <is>
          <t>TR-063</t>
        </is>
      </c>
      <c r="B64" t="inlineStr">
        <is>
          <t>RAM-008</t>
        </is>
      </c>
      <c r="C64" t="inlineStr">
        <is>
          <t>8GB</t>
        </is>
      </c>
      <c r="D64" s="2" t="n">
        <v>45784</v>
      </c>
      <c r="E64">
        <f>IFERROR(VLOOKUP(TRIM(B64),'danh-muc-linh-kien'!$A$2:$D$10,2,FALSE),"KIEM_TRA_MA")</f>
        <v/>
      </c>
      <c r="F64">
        <f>TRIM(B64)</f>
        <v/>
      </c>
    </row>
    <row r="65">
      <c r="A65" t="inlineStr">
        <is>
          <t>TR-064</t>
        </is>
      </c>
      <c r="B65" t="inlineStr">
        <is>
          <t>CPU-002</t>
        </is>
      </c>
      <c r="C65" t="inlineStr">
        <is>
          <t>8GB</t>
        </is>
      </c>
      <c r="D65" s="2" t="n">
        <v>45786</v>
      </c>
      <c r="E65">
        <f>IFERROR(VLOOKUP(TRIM(B65),'danh-muc-linh-kien'!$A$2:$D$10,2,FALSE),"KIEM_TRA_MA")</f>
        <v/>
      </c>
      <c r="F65">
        <f>TRIM(B65)</f>
        <v/>
      </c>
    </row>
    <row r="66">
      <c r="A66" t="inlineStr">
        <is>
          <t>TR-065</t>
        </is>
      </c>
      <c r="B66" t="inlineStr">
        <is>
          <t>HDD-1T</t>
        </is>
      </c>
      <c r="C66" t="inlineStr">
        <is>
          <t>16GB</t>
        </is>
      </c>
      <c r="D66" s="2" t="n">
        <v>45788</v>
      </c>
      <c r="E66">
        <f>IFERROR(VLOOKUP(TRIM(B66),'danh-muc-linh-kien'!$A$2:$D$10,2,FALSE),"KIEM_TRA_MA")</f>
        <v/>
      </c>
      <c r="F66">
        <f>TRIM(B66)</f>
        <v/>
      </c>
    </row>
    <row r="67">
      <c r="A67" t="inlineStr">
        <is>
          <t>TR-066</t>
        </is>
      </c>
      <c r="B67" t="inlineStr">
        <is>
          <t>SSD-512</t>
        </is>
      </c>
      <c r="C67" t="inlineStr">
        <is>
          <t>4GB</t>
        </is>
      </c>
      <c r="D67" s="2" t="n">
        <v>45790</v>
      </c>
      <c r="E67">
        <f>IFERROR(VLOOKUP(TRIM(B67),'danh-muc-linh-kien'!$A$2:$D$10,2,FALSE),"KIEM_TRA_MA")</f>
        <v/>
      </c>
      <c r="F67">
        <f>TRIM(B67)</f>
        <v/>
      </c>
    </row>
    <row r="68">
      <c r="A68" t="inlineStr">
        <is>
          <t>TR-067</t>
        </is>
      </c>
      <c r="B68" t="inlineStr">
        <is>
          <t>SSD-128</t>
        </is>
      </c>
      <c r="C68" t="inlineStr">
        <is>
          <t>8GB</t>
        </is>
      </c>
      <c r="D68" s="2" t="n">
        <v>45792</v>
      </c>
      <c r="E68">
        <f>IFERROR(VLOOKUP(TRIM(B68),'danh-muc-linh-kien'!$A$2:$D$10,2,FALSE),"KIEM_TRA_MA")</f>
        <v/>
      </c>
      <c r="F68">
        <f>TRIM(B68)</f>
        <v/>
      </c>
    </row>
    <row r="69">
      <c r="A69" t="inlineStr">
        <is>
          <t>TR-068</t>
        </is>
      </c>
      <c r="B69" t="inlineStr">
        <is>
          <t>RAM-008</t>
        </is>
      </c>
      <c r="C69" t="inlineStr">
        <is>
          <t>8GB</t>
        </is>
      </c>
      <c r="D69" s="2" t="n">
        <v>45794</v>
      </c>
      <c r="E69">
        <f>IFERROR(VLOOKUP(TRIM(B69),'danh-muc-linh-kien'!$A$2:$D$10,2,FALSE),"KIEM_TRA_MA")</f>
        <v/>
      </c>
      <c r="F69">
        <f>TRIM(B69)</f>
        <v/>
      </c>
    </row>
    <row r="70">
      <c r="A70" t="inlineStr">
        <is>
          <t>TR-069</t>
        </is>
      </c>
      <c r="B70" t="inlineStr">
        <is>
          <t>RAM-004</t>
        </is>
      </c>
      <c r="C70" t="inlineStr">
        <is>
          <t>4GB</t>
        </is>
      </c>
      <c r="D70" s="2" t="n">
        <v>45796</v>
      </c>
      <c r="E70">
        <f>IFERROR(VLOOKUP(TRIM(B70),'danh-muc-linh-kien'!$A$2:$D$10,2,FALSE),"KIEM_TRA_MA")</f>
        <v/>
      </c>
      <c r="F70">
        <f>TRIM(B70)</f>
        <v/>
      </c>
    </row>
    <row r="71">
      <c r="A71" t="inlineStr">
        <is>
          <t>TR-070</t>
        </is>
      </c>
      <c r="B71" t="inlineStr">
        <is>
          <t>CPU-001</t>
        </is>
      </c>
      <c r="C71" t="inlineStr">
        <is>
          <t>8GB</t>
        </is>
      </c>
      <c r="D71" s="2" t="n">
        <v>45798</v>
      </c>
      <c r="E71">
        <f>IFERROR(VLOOKUP(TRIM(B71),'danh-muc-linh-kien'!$A$2:$D$10,2,FALSE),"KIEM_TRA_MA")</f>
        <v/>
      </c>
      <c r="F71">
        <f>TRIM(B71)</f>
        <v/>
      </c>
    </row>
    <row r="72">
      <c r="A72" t="inlineStr">
        <is>
          <t>TR-071</t>
        </is>
      </c>
      <c r="B72" t="inlineStr">
        <is>
          <t>SSD-512</t>
        </is>
      </c>
      <c r="C72" t="inlineStr">
        <is>
          <t>16GB</t>
        </is>
      </c>
      <c r="D72" s="2" t="n">
        <v>45800</v>
      </c>
      <c r="E72">
        <f>IFERROR(VLOOKUP(TRIM(B72),'danh-muc-linh-kien'!$A$2:$D$10,2,FALSE),"KIEM_TRA_MA")</f>
        <v/>
      </c>
      <c r="F72">
        <f>TRIM(B72)</f>
        <v/>
      </c>
    </row>
    <row r="73">
      <c r="A73" t="inlineStr">
        <is>
          <t>TR-072</t>
        </is>
      </c>
      <c r="B73" t="inlineStr">
        <is>
          <t>SSD-256</t>
        </is>
      </c>
      <c r="C73" t="inlineStr">
        <is>
          <t>4GB</t>
        </is>
      </c>
      <c r="D73" s="2" t="n">
        <v>45802</v>
      </c>
      <c r="E73">
        <f>IFERROR(VLOOKUP(TRIM(B73),'danh-muc-linh-kien'!$A$2:$D$10,2,FALSE),"KIEM_TRA_MA")</f>
        <v/>
      </c>
      <c r="F73">
        <f>TRIM(B73)</f>
        <v/>
      </c>
    </row>
    <row r="74">
      <c r="A74" t="inlineStr">
        <is>
          <t>TR-073</t>
        </is>
      </c>
      <c r="B74" t="inlineStr">
        <is>
          <t>RAM-016</t>
        </is>
      </c>
      <c r="C74" t="inlineStr">
        <is>
          <t>16GB</t>
        </is>
      </c>
      <c r="D74" s="2" t="n">
        <v>45804</v>
      </c>
      <c r="E74">
        <f>IFERROR(VLOOKUP(TRIM(B74),'danh-muc-linh-kien'!$A$2:$D$10,2,FALSE),"KIEM_TRA_MA")</f>
        <v/>
      </c>
      <c r="F74">
        <f>TRIM(B74)</f>
        <v/>
      </c>
    </row>
    <row r="75">
      <c r="A75" t="inlineStr">
        <is>
          <t>TR-074</t>
        </is>
      </c>
      <c r="B75" t="inlineStr">
        <is>
          <t>RAM-004</t>
        </is>
      </c>
      <c r="C75" t="inlineStr">
        <is>
          <t>4GB</t>
        </is>
      </c>
      <c r="D75" s="2" t="n">
        <v>45806</v>
      </c>
      <c r="E75">
        <f>IFERROR(VLOOKUP(TRIM(B75),'danh-muc-linh-kien'!$A$2:$D$10,2,FALSE),"KIEM_TRA_MA")</f>
        <v/>
      </c>
      <c r="F75">
        <f>TRIM(B75)</f>
        <v/>
      </c>
    </row>
    <row r="76">
      <c r="A76" t="inlineStr">
        <is>
          <t>TR-075</t>
        </is>
      </c>
      <c r="B76" t="inlineStr">
        <is>
          <t>CPU-002</t>
        </is>
      </c>
      <c r="C76" t="inlineStr">
        <is>
          <t>4GB</t>
        </is>
      </c>
      <c r="D76" s="2" t="n">
        <v>45808</v>
      </c>
      <c r="E76">
        <f>IFERROR(VLOOKUP(TRIM(B76),'danh-muc-linh-kien'!$A$2:$D$10,2,FALSE),"KIEM_TRA_MA")</f>
        <v/>
      </c>
      <c r="F76">
        <f>TRIM(B76)</f>
        <v/>
      </c>
    </row>
    <row r="77">
      <c r="A77" t="inlineStr">
        <is>
          <t>TR-076</t>
        </is>
      </c>
      <c r="B77" t="inlineStr">
        <is>
          <t>HDD-1T</t>
        </is>
      </c>
      <c r="C77" t="inlineStr">
        <is>
          <t>8GB</t>
        </is>
      </c>
      <c r="D77" s="2" t="n">
        <v>45810</v>
      </c>
      <c r="E77">
        <f>IFERROR(VLOOKUP(TRIM(B77),'danh-muc-linh-kien'!$A$2:$D$10,2,FALSE),"KIEM_TRA_MA")</f>
        <v/>
      </c>
      <c r="F77">
        <f>TRIM(B77)</f>
        <v/>
      </c>
    </row>
    <row r="78">
      <c r="A78" t="inlineStr">
        <is>
          <t>TR-077</t>
        </is>
      </c>
      <c r="B78" t="inlineStr">
        <is>
          <t>SSD-256</t>
        </is>
      </c>
      <c r="C78" t="inlineStr">
        <is>
          <t>16GB</t>
        </is>
      </c>
      <c r="D78" s="2" t="n">
        <v>45812</v>
      </c>
      <c r="E78">
        <f>IFERROR(VLOOKUP(TRIM(B78),'danh-muc-linh-kien'!$A$2:$D$10,2,FALSE),"KIEM_TRA_MA")</f>
        <v/>
      </c>
      <c r="F78">
        <f>TRIM(B78)</f>
        <v/>
      </c>
    </row>
    <row r="79">
      <c r="A79" t="inlineStr">
        <is>
          <t>TR-078</t>
        </is>
      </c>
      <c r="B79" t="inlineStr">
        <is>
          <t>SSD-128</t>
        </is>
      </c>
      <c r="C79" t="inlineStr">
        <is>
          <t>4GB</t>
        </is>
      </c>
      <c r="D79" s="2" t="n">
        <v>45814</v>
      </c>
      <c r="E79">
        <f>IFERROR(VLOOKUP(TRIM(B79),'danh-muc-linh-kien'!$A$2:$D$10,2,FALSE),"KIEM_TRA_MA")</f>
        <v/>
      </c>
      <c r="F79">
        <f>TRIM(B79)</f>
        <v/>
      </c>
    </row>
    <row r="80">
      <c r="A80" t="inlineStr">
        <is>
          <t>TR-079</t>
        </is>
      </c>
      <c r="B80" t="inlineStr">
        <is>
          <t>RAM-008</t>
        </is>
      </c>
      <c r="C80" t="inlineStr">
        <is>
          <t>8GB</t>
        </is>
      </c>
      <c r="D80" s="2" t="n">
        <v>45816</v>
      </c>
      <c r="E80">
        <f>IFERROR(VLOOKUP(TRIM(B80),'danh-muc-linh-kien'!$A$2:$D$10,2,FALSE),"KIEM_TRA_MA")</f>
        <v/>
      </c>
      <c r="F80">
        <f>TRIM(B80)</f>
        <v/>
      </c>
    </row>
    <row r="81">
      <c r="A81" t="inlineStr">
        <is>
          <t>TR-080</t>
        </is>
      </c>
      <c r="B81" t="inlineStr">
        <is>
          <t>CPU-002</t>
        </is>
      </c>
      <c r="C81" t="inlineStr">
        <is>
          <t>16GB</t>
        </is>
      </c>
      <c r="D81" s="2" t="n">
        <v>45818</v>
      </c>
      <c r="E81">
        <f>IFERROR(VLOOKUP(TRIM(B81),'danh-muc-linh-kien'!$A$2:$D$10,2,FALSE),"KIEM_TRA_MA")</f>
        <v/>
      </c>
      <c r="F81">
        <f>TRIM(B81)</f>
        <v/>
      </c>
    </row>
    <row r="82">
      <c r="A82" t="inlineStr">
        <is>
          <t>TR-081</t>
        </is>
      </c>
      <c r="B82" t="inlineStr">
        <is>
          <t>CPU-001</t>
        </is>
      </c>
      <c r="C82" t="inlineStr">
        <is>
          <t>4GB</t>
        </is>
      </c>
      <c r="D82" s="2" t="n">
        <v>45820</v>
      </c>
      <c r="E82">
        <f>IFERROR(VLOOKUP(TRIM(B82),'danh-muc-linh-kien'!$A$2:$D$10,2,FALSE),"KIEM_TRA_MA")</f>
        <v/>
      </c>
      <c r="F82">
        <f>TRIM(B82)</f>
        <v/>
      </c>
    </row>
    <row r="83">
      <c r="A83" t="inlineStr">
        <is>
          <t>TR-082</t>
        </is>
      </c>
      <c r="B83" t="inlineStr">
        <is>
          <t>SSD-512</t>
        </is>
      </c>
      <c r="C83" t="inlineStr">
        <is>
          <t>8GB</t>
        </is>
      </c>
      <c r="D83" s="2" t="n">
        <v>45822</v>
      </c>
      <c r="E83">
        <f>IFERROR(VLOOKUP(TRIM(B83),'danh-muc-linh-kien'!$A$2:$D$10,2,FALSE),"KIEM_TRA_MA")</f>
        <v/>
      </c>
      <c r="F83">
        <f>TRIM(B83)</f>
        <v/>
      </c>
    </row>
    <row r="84">
      <c r="A84" t="inlineStr">
        <is>
          <t>TR-083</t>
        </is>
      </c>
      <c r="B84" t="inlineStr">
        <is>
          <t>SSD-128</t>
        </is>
      </c>
      <c r="C84" t="inlineStr">
        <is>
          <t>16GB</t>
        </is>
      </c>
      <c r="D84" s="2" t="n">
        <v>45824</v>
      </c>
      <c r="E84">
        <f>IFERROR(VLOOKUP(TRIM(B84),'danh-muc-linh-kien'!$A$2:$D$10,2,FALSE),"KIEM_TRA_MA")</f>
        <v/>
      </c>
      <c r="F84">
        <f>TRIM(B84)</f>
        <v/>
      </c>
    </row>
    <row r="85">
      <c r="A85" t="inlineStr">
        <is>
          <t>TR-084</t>
        </is>
      </c>
      <c r="B85" t="inlineStr">
        <is>
          <t>RAM-016</t>
        </is>
      </c>
      <c r="C85" t="inlineStr">
        <is>
          <t>16GB</t>
        </is>
      </c>
      <c r="D85" s="2" t="n">
        <v>45826</v>
      </c>
      <c r="E85">
        <f>IFERROR(VLOOKUP(TRIM(B85),'danh-muc-linh-kien'!$A$2:$D$10,2,FALSE),"KIEM_TRA_MA")</f>
        <v/>
      </c>
      <c r="F85">
        <f>TRIM(B85)</f>
        <v/>
      </c>
    </row>
    <row r="86">
      <c r="A86" t="inlineStr">
        <is>
          <t>TR-085</t>
        </is>
      </c>
      <c r="B86" t="inlineStr">
        <is>
          <t>RAM-004</t>
        </is>
      </c>
      <c r="C86" t="inlineStr">
        <is>
          <t>4GB</t>
        </is>
      </c>
      <c r="D86" s="2" t="n">
        <v>45828</v>
      </c>
      <c r="E86">
        <f>IFERROR(VLOOKUP(TRIM(B86),'danh-muc-linh-kien'!$A$2:$D$10,2,FALSE),"KIEM_TRA_MA")</f>
        <v/>
      </c>
      <c r="F86">
        <f>TRIM(B86)</f>
        <v/>
      </c>
    </row>
    <row r="87">
      <c r="A87" t="inlineStr">
        <is>
          <t>TR-086</t>
        </is>
      </c>
      <c r="B87" t="inlineStr">
        <is>
          <t>CPU-001</t>
        </is>
      </c>
      <c r="C87" t="inlineStr">
        <is>
          <t>16GB</t>
        </is>
      </c>
      <c r="D87" s="2" t="n">
        <v>45830</v>
      </c>
      <c r="E87">
        <f>IFERROR(VLOOKUP(TRIM(B87),'danh-muc-linh-kien'!$A$2:$D$10,2,FALSE),"KIEM_TRA_MA")</f>
        <v/>
      </c>
      <c r="F87">
        <f>TRIM(B87)</f>
        <v/>
      </c>
    </row>
    <row r="88">
      <c r="A88" t="inlineStr">
        <is>
          <t>TR-087</t>
        </is>
      </c>
      <c r="B88" t="inlineStr">
        <is>
          <t>HDD-1T</t>
        </is>
      </c>
      <c r="C88" t="inlineStr">
        <is>
          <t>4GB</t>
        </is>
      </c>
      <c r="D88" s="2" t="n">
        <v>45832</v>
      </c>
      <c r="E88">
        <f>IFERROR(VLOOKUP(TRIM(B88),'danh-muc-linh-kien'!$A$2:$D$10,2,FALSE),"KIEM_TRA_MA")</f>
        <v/>
      </c>
      <c r="F88">
        <f>TRIM(B88)</f>
        <v/>
      </c>
    </row>
    <row r="89">
      <c r="A89" t="inlineStr">
        <is>
          <t>TR-088</t>
        </is>
      </c>
      <c r="B89" t="inlineStr">
        <is>
          <t>SSD-256</t>
        </is>
      </c>
      <c r="C89" t="inlineStr">
        <is>
          <t>8GB</t>
        </is>
      </c>
      <c r="D89" s="2" t="n">
        <v>45834</v>
      </c>
      <c r="E89">
        <f>IFERROR(VLOOKUP(TRIM(B89),'danh-muc-linh-kien'!$A$2:$D$10,2,FALSE),"KIEM_TRA_MA")</f>
        <v/>
      </c>
      <c r="F89">
        <f>TRIM(B89)</f>
        <v/>
      </c>
    </row>
    <row r="90">
      <c r="A90" t="inlineStr">
        <is>
          <t>TR-089</t>
        </is>
      </c>
      <c r="B90" t="inlineStr">
        <is>
          <t>RAM-016</t>
        </is>
      </c>
      <c r="C90" t="inlineStr">
        <is>
          <t>16GB</t>
        </is>
      </c>
      <c r="D90" s="2" t="n">
        <v>45836</v>
      </c>
      <c r="E90">
        <f>IFERROR(VLOOKUP(TRIM(B90),'danh-muc-linh-kien'!$A$2:$D$10,2,FALSE),"KIEM_TRA_MA")</f>
        <v/>
      </c>
      <c r="F90">
        <f>TRIM(B90)</f>
        <v/>
      </c>
    </row>
    <row r="91">
      <c r="A91" t="inlineStr">
        <is>
          <t>TR-090</t>
        </is>
      </c>
      <c r="B91" t="inlineStr">
        <is>
          <t>RAM-008</t>
        </is>
      </c>
      <c r="C91" t="inlineStr">
        <is>
          <t>8GB</t>
        </is>
      </c>
      <c r="D91" s="2" t="n">
        <v>45838</v>
      </c>
      <c r="E91">
        <f>IFERROR(VLOOKUP(TRIM(B91),'danh-muc-linh-kien'!$A$2:$D$10,2,FALSE),"KIEM_TRA_MA")</f>
        <v/>
      </c>
      <c r="F91">
        <f>TRIM(B91)</f>
        <v/>
      </c>
    </row>
    <row r="92">
      <c r="A92" t="inlineStr">
        <is>
          <t>TR-091</t>
        </is>
      </c>
      <c r="B92" t="inlineStr">
        <is>
          <t>CPU-002</t>
        </is>
      </c>
      <c r="C92" t="inlineStr">
        <is>
          <t>8GB</t>
        </is>
      </c>
      <c r="D92" s="2" t="n">
        <v>45840</v>
      </c>
      <c r="E92">
        <f>IFERROR(VLOOKUP(TRIM(B92),'danh-muc-linh-kien'!$A$2:$D$10,2,FALSE),"KIEM_TRA_MA")</f>
        <v/>
      </c>
      <c r="F92">
        <f>TRIM(B92)</f>
        <v/>
      </c>
    </row>
    <row r="93">
      <c r="A93" t="inlineStr">
        <is>
          <t>TR-092</t>
        </is>
      </c>
      <c r="B93" t="inlineStr">
        <is>
          <t>HDD-1T</t>
        </is>
      </c>
      <c r="C93" t="inlineStr">
        <is>
          <t>16GB</t>
        </is>
      </c>
      <c r="D93" s="2" t="n">
        <v>45842</v>
      </c>
      <c r="E93">
        <f>IFERROR(VLOOKUP(TRIM(B93),'danh-muc-linh-kien'!$A$2:$D$10,2,FALSE),"KIEM_TRA_MA")</f>
        <v/>
      </c>
      <c r="F93">
        <f>TRIM(B93)</f>
        <v/>
      </c>
    </row>
    <row r="94">
      <c r="A94" t="inlineStr">
        <is>
          <t>TR-093</t>
        </is>
      </c>
      <c r="B94" t="inlineStr">
        <is>
          <t>SSD-512</t>
        </is>
      </c>
      <c r="C94" t="inlineStr">
        <is>
          <t>4GB</t>
        </is>
      </c>
      <c r="D94" s="2" t="n">
        <v>45844</v>
      </c>
      <c r="E94">
        <f>IFERROR(VLOOKUP(TRIM(B94),'danh-muc-linh-kien'!$A$2:$D$10,2,FALSE),"KIEM_TRA_MA")</f>
        <v/>
      </c>
      <c r="F94">
        <f>TRIM(B94)</f>
        <v/>
      </c>
    </row>
    <row r="95">
      <c r="A95" t="inlineStr">
        <is>
          <t>TR-094</t>
        </is>
      </c>
      <c r="B95" t="inlineStr">
        <is>
          <t>SSD-128</t>
        </is>
      </c>
      <c r="C95" t="inlineStr">
        <is>
          <t>8GB</t>
        </is>
      </c>
      <c r="D95" s="2" t="n">
        <v>45846</v>
      </c>
      <c r="E95">
        <f>IFERROR(VLOOKUP(TRIM(B95),'danh-muc-linh-kien'!$A$2:$D$10,2,FALSE),"KIEM_TRA_MA")</f>
        <v/>
      </c>
      <c r="F95">
        <f>TRIM(B95)</f>
        <v/>
      </c>
    </row>
    <row r="96">
      <c r="A96" t="inlineStr">
        <is>
          <t>TR-095</t>
        </is>
      </c>
      <c r="B96" t="inlineStr">
        <is>
          <t>RAM-008</t>
        </is>
      </c>
      <c r="C96" t="inlineStr">
        <is>
          <t>8GB</t>
        </is>
      </c>
      <c r="D96" s="2" t="n">
        <v>45848</v>
      </c>
      <c r="E96">
        <f>IFERROR(VLOOKUP(TRIM(B96),'danh-muc-linh-kien'!$A$2:$D$10,2,FALSE),"KIEM_TRA_MA")</f>
        <v/>
      </c>
      <c r="F96">
        <f>TRIM(B96)</f>
        <v/>
      </c>
    </row>
    <row r="97">
      <c r="A97" t="inlineStr">
        <is>
          <t>TR-096</t>
        </is>
      </c>
      <c r="B97" t="inlineStr">
        <is>
          <t>RAM-004</t>
        </is>
      </c>
      <c r="C97" t="inlineStr">
        <is>
          <t>4GB</t>
        </is>
      </c>
      <c r="D97" s="2" t="n">
        <v>45850</v>
      </c>
      <c r="E97">
        <f>IFERROR(VLOOKUP(TRIM(B97),'danh-muc-linh-kien'!$A$2:$D$10,2,FALSE),"KIEM_TRA_MA")</f>
        <v/>
      </c>
      <c r="F97">
        <f>TRIM(B97)</f>
        <v/>
      </c>
    </row>
    <row r="98">
      <c r="A98" t="inlineStr">
        <is>
          <t>TR-097</t>
        </is>
      </c>
      <c r="B98" t="inlineStr">
        <is>
          <t>CPU-001</t>
        </is>
      </c>
      <c r="C98" t="inlineStr">
        <is>
          <t>8GB</t>
        </is>
      </c>
      <c r="D98" s="2" t="n">
        <v>45852</v>
      </c>
      <c r="E98">
        <f>IFERROR(VLOOKUP(TRIM(B98),'danh-muc-linh-kien'!$A$2:$D$10,2,FALSE),"KIEM_TRA_MA")</f>
        <v/>
      </c>
      <c r="F98">
        <f>TRIM(B98)</f>
        <v/>
      </c>
    </row>
    <row r="99">
      <c r="A99" t="inlineStr">
        <is>
          <t>TR-098</t>
        </is>
      </c>
      <c r="B99" t="inlineStr">
        <is>
          <t>SSD-512</t>
        </is>
      </c>
      <c r="C99" t="inlineStr">
        <is>
          <t>16GB</t>
        </is>
      </c>
      <c r="D99" s="2" t="n">
        <v>45854</v>
      </c>
      <c r="E99">
        <f>IFERROR(VLOOKUP(TRIM(B99),'danh-muc-linh-kien'!$A$2:$D$10,2,FALSE),"KIEM_TRA_MA")</f>
        <v/>
      </c>
      <c r="F99">
        <f>TRIM(B99)</f>
        <v/>
      </c>
    </row>
    <row r="100">
      <c r="A100" t="inlineStr">
        <is>
          <t>TR-099</t>
        </is>
      </c>
      <c r="B100" t="inlineStr">
        <is>
          <t>SSD-256</t>
        </is>
      </c>
      <c r="C100" t="inlineStr">
        <is>
          <t>4GB</t>
        </is>
      </c>
      <c r="D100" s="2" t="n">
        <v>45856</v>
      </c>
      <c r="E100">
        <f>IFERROR(VLOOKUP(TRIM(B100),'danh-muc-linh-kien'!$A$2:$D$10,2,FALSE),"KIEM_TRA_MA")</f>
        <v/>
      </c>
      <c r="F100">
        <f>TRIM(B100)</f>
        <v/>
      </c>
    </row>
    <row r="101">
      <c r="A101" t="inlineStr">
        <is>
          <t>TR-100</t>
        </is>
      </c>
      <c r="B101" t="inlineStr">
        <is>
          <t>RAM-016</t>
        </is>
      </c>
      <c r="C101" t="inlineStr">
        <is>
          <t>16GB</t>
        </is>
      </c>
      <c r="D101" s="2" t="n">
        <v>45858</v>
      </c>
      <c r="E101">
        <f>IFERROR(VLOOKUP(TRIM(B101),'danh-muc-linh-kien'!$A$2:$D$10,2,FALSE),"KIEM_TRA_MA")</f>
        <v/>
      </c>
      <c r="F101">
        <f>TRIM(B101)</f>
        <v/>
      </c>
    </row>
  </sheetData>
  <autoFilter ref="A1:F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0" customWidth="1" min="2" max="2"/>
  </cols>
  <sheetData>
    <row r="1" ht="30" customHeight="1">
      <c r="A1" s="1" t="inlineStr">
        <is>
          <t>Mục</t>
        </is>
      </c>
      <c r="B1" s="1" t="inlineStr">
        <is>
          <t>Hướng dẫn</t>
        </is>
      </c>
    </row>
    <row r="2">
      <c r="A2" t="inlineStr">
        <is>
          <t>VLOOKUP</t>
        </is>
      </c>
      <c r="B2" t="inlineStr">
        <is>
          <t>Dùng FALSE và vùng danh mục tuyệt đối.</t>
        </is>
      </c>
    </row>
    <row r="3">
      <c r="A3" t="inlineStr">
        <is>
          <t>TRIM</t>
        </is>
      </c>
      <c r="B3" t="inlineStr">
        <is>
          <t>Cột ma_linh_kien_sach chuẩn hóa mã có khoảng trắng.</t>
        </is>
      </c>
    </row>
    <row r="4">
      <c r="A4" t="inlineStr">
        <is>
          <t>Bẫy dữ liệu</t>
        </is>
      </c>
      <c r="B4" t="inlineStr">
        <is>
          <t>Header duy nhất hàng 1; không merge cell/hàng trống.</t>
        </is>
      </c>
    </row>
    <row r="5">
      <c r="A5" t="inlineStr">
        <is>
          <t>Kiểm tra lỗi</t>
        </is>
      </c>
      <c r="B5" t="inlineStr">
        <is>
          <t>KIEM_TRA_MA nghĩa là cần đối chiếu danh mục.</t>
        </is>
      </c>
    </row>
    <row r="6">
      <c r="A6" t="inlineStr">
        <is>
          <t>Dữ liệu mẫu</t>
        </is>
      </c>
      <c r="B6" t="inlineStr">
        <is>
          <t>TR-012 và TR-037 có khoảng trắng thừa để minh họa TRIM.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2026-10-27T02:03:08Z</dcterms:created>
  <dcterms:modified xmlns:dcterms="http://purl.org/dc/terms/" xmlns:xsi="http://www.w3.org/2001/XMLSchema-instance" xsi:type="dcterms:W3CDTF">2026-10-27T02:03:08Z</dcterms:modified>
</cp:coreProperties>
</file>